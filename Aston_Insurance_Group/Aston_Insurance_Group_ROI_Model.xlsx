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Assumptions" sheetId="2" state="visible" r:id="rId4"/>
    <sheet name="Calculations" sheetId="3" state="visible" r:id="rId5"/>
    <sheet name="Implementation" sheetId="4" state="visible" r:id="rId6"/>
    <sheet name="3-Year Projecti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<sst xmlns="http://schemas.openxmlformats.org/spreadsheetml/2006/main" count="232" uniqueCount="180">
  <si>
    <t xml:space="preserve">ASTON INSURANCE GROUP - ROI ANALYSIS</t>
  </si>
  <si>
    <t xml:space="preserve">Interactive Financial Model - Adjust yellow cells to see impact</t>
  </si>
  <si>
    <t xml:space="preserve">KEY FINANCIAL METRICS</t>
  </si>
  <si>
    <t xml:space="preserve">Metric</t>
  </si>
  <si>
    <t xml:space="preserve">Value</t>
  </si>
  <si>
    <t xml:space="preserve">Notes</t>
  </si>
  <si>
    <t xml:space="preserve">Total Annual Savings Potential</t>
  </si>
  <si>
    <t xml:space="preserve">Sum of all process savings</t>
  </si>
  <si>
    <t xml:space="preserve">Total Implementation Investment</t>
  </si>
  <si>
    <t xml:space="preserve">One-time implementation cost</t>
  </si>
  <si>
    <t xml:space="preserve">Payback Period (months)</t>
  </si>
  <si>
    <t xml:space="preserve">Investment / Monthly savings</t>
  </si>
  <si>
    <t xml:space="preserve">First Year Net ROI</t>
  </si>
  <si>
    <t xml:space="preserve">Savings minus investment</t>
  </si>
  <si>
    <t xml:space="preserve">ROI Percentage</t>
  </si>
  <si>
    <t xml:space="preserve">(Savings-Investment)/Investment</t>
  </si>
  <si>
    <t xml:space="preserve">3-Year Cumulative Benefit</t>
  </si>
  <si>
    <t xml:space="preserve">Includes maintenance costs</t>
  </si>
  <si>
    <t xml:space="preserve">TOP PRIORITY RECOMMENDATIONS</t>
  </si>
  <si>
    <t xml:space="preserve">Rank</t>
  </si>
  <si>
    <t xml:space="preserve">Initiative</t>
  </si>
  <si>
    <t xml:space="preserve">Annual Savings</t>
  </si>
  <si>
    <t xml:space="preserve">Investment</t>
  </si>
  <si>
    <t xml:space="preserve">Payback</t>
  </si>
  <si>
    <t xml:space="preserve">1</t>
  </si>
  <si>
    <t xml:space="preserve">Policy Verification RPA</t>
  </si>
  <si>
    <t xml:space="preserve">2</t>
  </si>
  <si>
    <t xml:space="preserve">Birthday Automation</t>
  </si>
  <si>
    <t xml:space="preserve">3</t>
  </si>
  <si>
    <t xml:space="preserve">Email Cross-Sell Campaigns</t>
  </si>
  <si>
    <t xml:space="preserve">4</t>
  </si>
  <si>
    <t xml:space="preserve">Admin Task Automation</t>
  </si>
  <si>
    <t xml:space="preserve">5</t>
  </si>
  <si>
    <t xml:space="preserve">Payment Follow-Up</t>
  </si>
  <si>
    <t xml:space="preserve">HOW TO USE THIS MODEL</t>
  </si>
  <si>
    <t xml:space="preserve">1. Go to the 'Assumptions' tab to adjust hourly rates, time estimates, and savings percentages</t>
  </si>
  <si>
    <t xml:space="preserve">2. Yellow cells are inputs you can modify - changes automatically update all calculations</t>
  </si>
  <si>
    <t xml:space="preserve">3. The 'Calculations' tab shows detailed ROI math for each process</t>
  </si>
  <si>
    <t xml:space="preserve">4. The 'Implementation' tab shows the phased roadmap with costs</t>
  </si>
  <si>
    <t xml:space="preserve">5. Return to this summary to see updated key metrics</t>
  </si>
  <si>
    <t xml:space="preserve">ADJUSTABLE ASSUMPTIONS</t>
  </si>
  <si>
    <t xml:space="preserve">Modify yellow cells to see impact on ROI calculations</t>
  </si>
  <si>
    <t xml:space="preserve">LABOR COSTS</t>
  </si>
  <si>
    <t xml:space="preserve">Role</t>
  </si>
  <si>
    <t xml:space="preserve">Hourly Rate</t>
  </si>
  <si>
    <t xml:space="preserve">Admin Staff (Silvia, Yuliana, Mery)</t>
  </si>
  <si>
    <t xml:space="preserve">FL/TX market rate for bilingual insurance admin</t>
  </si>
  <si>
    <t xml:space="preserve">Licensed Agents (Freddy, Andrea, Flor)</t>
  </si>
  <si>
    <t xml:space="preserve">Includes commission opportunity cost</t>
  </si>
  <si>
    <t xml:space="preserve">TIME ESTIMATES (Hours/Month)</t>
  </si>
  <si>
    <t xml:space="preserve">Process</t>
  </si>
  <si>
    <t xml:space="preserve">Current Hours</t>
  </si>
  <si>
    <t xml:space="preserve">Period</t>
  </si>
  <si>
    <t xml:space="preserve">Policy Verification (Peak)</t>
  </si>
  <si>
    <t xml:space="preserve">Peak months (Jan-Feb)</t>
  </si>
  <si>
    <t xml:space="preserve">Mery 100% dedicated</t>
  </si>
  <si>
    <t xml:space="preserve">Policy Verification (Normal)</t>
  </si>
  <si>
    <t xml:space="preserve">Normal months (Mar-Dec)</t>
  </si>
  <si>
    <t xml:space="preserve">Distributed across team</t>
  </si>
  <si>
    <t xml:space="preserve">Payment Follow-up</t>
  </si>
  <si>
    <t xml:space="preserve">Monthly</t>
  </si>
  <si>
    <t xml:space="preserve">62.5 clients × 6 min + list download</t>
  </si>
  <si>
    <t xml:space="preserve">Inbound Calls</t>
  </si>
  <si>
    <t xml:space="preserve">Silvia 40% + Yuliana 40%</t>
  </si>
  <si>
    <t xml:space="preserve">Admin Tasks</t>
  </si>
  <si>
    <t xml:space="preserve">Yuliana 80% + Silvia 20%</t>
  </si>
  <si>
    <t xml:space="preserve">Doc Request Tracking</t>
  </si>
  <si>
    <t xml:space="preserve">5 hrs/week overhead</t>
  </si>
  <si>
    <t xml:space="preserve">AUTOMATION SAVINGS PERCENTAGES</t>
  </si>
  <si>
    <t xml:space="preserve">Time Savings %</t>
  </si>
  <si>
    <t xml:space="preserve">Feasibility Score</t>
  </si>
  <si>
    <t xml:space="preserve">Policy Verification</t>
  </si>
  <si>
    <t xml:space="preserve">RPA can automate 70% of checks</t>
  </si>
  <si>
    <t xml:space="preserve">Bulk SMS nearly eliminates manual work</t>
  </si>
  <si>
    <t xml:space="preserve">IVR/self-service for simple queries</t>
  </si>
  <si>
    <t xml:space="preserve">Templates and workflows</t>
  </si>
  <si>
    <t xml:space="preserve">ZOHO workflow replaces Excel</t>
  </si>
  <si>
    <t xml:space="preserve">REVENUE GENERATION ASSUMPTIONS</t>
  </si>
  <si>
    <t xml:space="preserve">Unit</t>
  </si>
  <si>
    <t xml:space="preserve">Birthday retention impact</t>
  </si>
  <si>
    <t xml:space="preserve">% improvement</t>
  </si>
  <si>
    <t xml:space="preserve">Conservative estimate</t>
  </si>
  <si>
    <t xml:space="preserve">Average client commission</t>
  </si>
  <si>
    <t xml:space="preserve">Per client/year</t>
  </si>
  <si>
    <t xml:space="preserve">Blended ACA + ancillary</t>
  </si>
  <si>
    <t xml:space="preserve">Medicare conversion rate</t>
  </si>
  <si>
    <t xml:space="preserve">% of eligible</t>
  </si>
  <si>
    <t xml:space="preserve">Industry standard</t>
  </si>
  <si>
    <t xml:space="preserve">Clients approaching 65/year</t>
  </si>
  <si>
    <t xml:space="preserve">Count</t>
  </si>
  <si>
    <t xml:space="preserve">~2.7% of 3,000 clients</t>
  </si>
  <si>
    <t xml:space="preserve">Medicare commission</t>
  </si>
  <si>
    <t xml:space="preserve">Per policy</t>
  </si>
  <si>
    <t xml:space="preserve">Average first-year</t>
  </si>
  <si>
    <t xml:space="preserve">Cross-sell conversion rate</t>
  </si>
  <si>
    <t xml:space="preserve">% of targeted</t>
  </si>
  <si>
    <t xml:space="preserve">Email campaign estimate</t>
  </si>
  <si>
    <t xml:space="preserve">Average ancillary commission</t>
  </si>
  <si>
    <t xml:space="preserve">Dental/Vision/Life</t>
  </si>
  <si>
    <t xml:space="preserve">DETAILED ROI CALCULATIONS</t>
  </si>
  <si>
    <t xml:space="preserve">Monthly Hours</t>
  </si>
  <si>
    <t xml:space="preserve">Annual Hours</t>
  </si>
  <si>
    <t xml:space="preserve">Annual Cost</t>
  </si>
  <si>
    <t xml:space="preserve">Implementation</t>
  </si>
  <si>
    <t xml:space="preserve">Payback (mo)</t>
  </si>
  <si>
    <t xml:space="preserve">Email Cross-Sell</t>
  </si>
  <si>
    <t xml:space="preserve">Medicare Age Trigger</t>
  </si>
  <si>
    <t xml:space="preserve">Inbound Call Optimization</t>
  </si>
  <si>
    <t xml:space="preserve">TOTALS</t>
  </si>
  <si>
    <t xml:space="preserve">IMPLEMENTATION ROADMAP</t>
  </si>
  <si>
    <t xml:space="preserve">PHASE 1: QUICK WINS (Month 1-2)</t>
  </si>
  <si>
    <t xml:space="preserve">Week</t>
  </si>
  <si>
    <t xml:space="preserve">Owner</t>
  </si>
  <si>
    <t xml:space="preserve">Cost (Low)</t>
  </si>
  <si>
    <t xml:space="preserve">Cost (High)</t>
  </si>
  <si>
    <t xml:space="preserve">Expected Outcome</t>
  </si>
  <si>
    <t xml:space="preserve">1-2</t>
  </si>
  <si>
    <t xml:space="preserve">SMS Consent Capture</t>
  </si>
  <si>
    <t xml:space="preserve">Admin</t>
  </si>
  <si>
    <t xml:space="preserve">Compliance foundation</t>
  </si>
  <si>
    <t xml:space="preserve">ZOHO Admin</t>
  </si>
  <si>
    <t xml:space="preserve">250 touchpoints/month</t>
  </si>
  <si>
    <t xml:space="preserve">2-3</t>
  </si>
  <si>
    <t xml:space="preserve">5-8 qualified leads/month</t>
  </si>
  <si>
    <t xml:space="preserve">3-4</t>
  </si>
  <si>
    <t xml:space="preserve">Bulk SMS for Payments</t>
  </si>
  <si>
    <t xml:space="preserve">IT/Admin</t>
  </si>
  <si>
    <t xml:space="preserve">80% time reduction</t>
  </si>
  <si>
    <t xml:space="preserve">4-6</t>
  </si>
  <si>
    <t xml:space="preserve">Doc Request Workflow</t>
  </si>
  <si>
    <t xml:space="preserve">Eliminate Excel tracking</t>
  </si>
  <si>
    <t xml:space="preserve">Phase 1 Total:</t>
  </si>
  <si>
    <t xml:space="preserve">to</t>
  </si>
  <si>
    <t xml:space="preserve">PHASE 2: FOUNDATION BUILDING (Month 2-4)</t>
  </si>
  <si>
    <t xml:space="preserve">8-10</t>
  </si>
  <si>
    <t xml:space="preserve">RingCentral-ZOHO Integration</t>
  </si>
  <si>
    <t xml:space="preserve">IT</t>
  </si>
  <si>
    <t xml:space="preserve">Call logging in CRM</t>
  </si>
  <si>
    <t xml:space="preserve">8-12</t>
  </si>
  <si>
    <t xml:space="preserve">Email Campaign Templates</t>
  </si>
  <si>
    <t xml:space="preserve">Marketing</t>
  </si>
  <si>
    <t xml:space="preserve">5-7 Spanish campaigns</t>
  </si>
  <si>
    <t xml:space="preserve">10-12</t>
  </si>
  <si>
    <t xml:space="preserve">Client Segmentation</t>
  </si>
  <si>
    <t xml:space="preserve">Product-based segments</t>
  </si>
  <si>
    <t xml:space="preserve">12-14</t>
  </si>
  <si>
    <t xml:space="preserve">First Cross-Sell Campaign</t>
  </si>
  <si>
    <t xml:space="preserve">Target dental/vision</t>
  </si>
  <si>
    <t xml:space="preserve">12-16</t>
  </si>
  <si>
    <t xml:space="preserve">Admin Task Templates</t>
  </si>
  <si>
    <t xml:space="preserve">Standardized workflows</t>
  </si>
  <si>
    <t xml:space="preserve">14-16</t>
  </si>
  <si>
    <t xml:space="preserve">Self-Service Portal</t>
  </si>
  <si>
    <t xml:space="preserve">ID requests online</t>
  </si>
  <si>
    <t xml:space="preserve">Phase 2 Total:</t>
  </si>
  <si>
    <t xml:space="preserve">PHASE 3: ADVANCED AUTOMATION (Month 4-6)</t>
  </si>
  <si>
    <t xml:space="preserve">16-20</t>
  </si>
  <si>
    <t xml:space="preserve">Policy Verification RPA (Phase 1)</t>
  </si>
  <si>
    <t xml:space="preserve">IT/Vendor</t>
  </si>
  <si>
    <t xml:space="preserve">Health Sherpa automation</t>
  </si>
  <si>
    <t xml:space="preserve">18-22</t>
  </si>
  <si>
    <t xml:space="preserve">Policy Verification RPA (Phase 2)</t>
  </si>
  <si>
    <t xml:space="preserve">Healthcare.gov automation</t>
  </si>
  <si>
    <t xml:space="preserve">20-24</t>
  </si>
  <si>
    <t xml:space="preserve">Advanced Reporting Dashboard</t>
  </si>
  <si>
    <t xml:space="preserve">Real-time KPIs</t>
  </si>
  <si>
    <t xml:space="preserve">22-26</t>
  </si>
  <si>
    <t xml:space="preserve">Renewal Campaign Automation</t>
  </si>
  <si>
    <t xml:space="preserve">90-day advance reminders</t>
  </si>
  <si>
    <t xml:space="preserve">Phase 3 Total:</t>
  </si>
  <si>
    <t xml:space="preserve">GRAND TOTAL:</t>
  </si>
  <si>
    <t xml:space="preserve">3-YEAR FINANCIAL PROJECTION</t>
  </si>
  <si>
    <t xml:space="preserve">Year</t>
  </si>
  <si>
    <t xml:space="preserve">Net Benefit</t>
  </si>
  <si>
    <t xml:space="preserve">Cumulative Benefit</t>
  </si>
  <si>
    <t xml:space="preserve">Year 1</t>
  </si>
  <si>
    <t xml:space="preserve">Year 2</t>
  </si>
  <si>
    <t xml:space="preserve">Year 3</t>
  </si>
  <si>
    <t xml:space="preserve">3-Year Total</t>
  </si>
  <si>
    <t xml:space="preserve">3-Year ROI: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</si>
</sst>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.0&quot; mo&quot;"/>
    <numFmt numFmtId="167" formatCode="0.0"/>
    <numFmt numFmtId="168" formatCode="0%"/>
    <numFmt numFmtId="169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A3366"/>
      <name val="Cambria"/>
      <family val="0"/>
      <charset val="1"/>
    </font>
    <font>
      <i val="true"/>
      <sz val="10"/>
      <color rgb="FF666666"/>
      <name val="Cambria"/>
      <family val="0"/>
      <charset val="1"/>
    </font>
    <font>
      <b val="true"/>
      <sz val="12"/>
      <color rgb="FF1A33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0"/>
      <color rgb="FF339966"/>
      <name val="Cambria"/>
      <family val="0"/>
      <charset val="1"/>
    </font>
    <font>
      <sz val="10"/>
      <color rgb="FF444444"/>
      <name val="Cambria"/>
      <family val="0"/>
      <charset val="1"/>
    </font>
    <font>
      <b val="true"/>
      <sz val="16"/>
      <color rgb="FF1A3366"/>
      <name val="Cambria"/>
      <family val="0"/>
      <charset val="1"/>
    </font>
    <font>
      <sz val="10"/>
      <color rgb="FF0000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color rgb="FF339966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4"/>
      <color rgb="FF339966"/>
      <name val="Cambria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A3366"/>
        <bgColor rgb="FF333399"/>
      </patternFill>
    </fill>
    <fill>
      <patternFill patternType="solid">
        <fgColor rgb="FF339999"/>
        <bgColor rgb="FF339966"/>
      </patternFill>
    </fill>
    <fill>
      <patternFill patternType="solid">
        <fgColor rgb="FFFFFF00"/>
        <bgColor rgb="FFFFFF00"/>
      </patternFill>
    </fill>
    <fill>
      <patternFill patternType="solid">
        <fgColor rgb="FFD4EDDA"/>
        <bgColor rgb="FFCCFFFF"/>
      </patternFill>
    </fill>
    <fill>
      <patternFill patternType="solid">
        <fgColor rgb="FF339966"/>
        <bgColor rgb="FF339999"/>
      </patternFill>
    </fill>
    <fill>
      <patternFill patternType="solid">
        <fgColor rgb="FFFFF3CD"/>
        <bgColor rgb="FFFFFFFF"/>
      </patternFill>
    </fill>
    <fill>
      <patternFill patternType="solid">
        <fgColor rgb="FFE68A00"/>
        <bgColor rgb="FFFF6600"/>
      </patternFill>
    </fill>
    <fill>
      <patternFill patternType="solid">
        <fgColor rgb="FFD6D6F5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339999"/>
      <rgbColor rgb="FFCCCCCC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D6D6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68A00"/>
      <rgbColor rgb="FFFF6600"/>
      <rgbColor rgb="FF666666"/>
      <rgbColor rgb="FF969696"/>
      <rgbColor rgb="FF1A3366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0"/>
    <col collapsed="false" customWidth="true" hidden="false" outlineLevel="0" max="3" min="3" style="0" width="35"/>
    <col collapsed="false" customWidth="true" hidden="false" outlineLevel="0" max="4" min="4" style="0" width="15"/>
    <col collapsed="false" customWidth="true" hidden="false" outlineLevel="0" max="5" min="5" style="0" width="12"/>
  </cols>
  <sheetData>
    <row r="1" customFormat="false" ht="22.0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</row>
    <row r="6" customFormat="false" ht="15" hidden="false" customHeight="false" outlineLevel="0" collapsed="false">
      <c r="A6" s="5" t="s">
        <v>6</v>
      </c>
      <c r="B6" s="6" t="n">
        <f aca="false">Calculations!E22</f>
        <v>89268.2</v>
      </c>
      <c r="C6" s="7" t="s">
        <v>7</v>
      </c>
    </row>
    <row r="7" customFormat="false" ht="15" hidden="false" customHeight="false" outlineLevel="0" collapsed="false">
      <c r="A7" s="5" t="s">
        <v>8</v>
      </c>
      <c r="B7" s="6" t="n">
        <f aca="false">Calculations!F22</f>
        <v>25400</v>
      </c>
      <c r="C7" s="7" t="s">
        <v>9</v>
      </c>
    </row>
    <row r="8" customFormat="false" ht="15" hidden="false" customHeight="false" outlineLevel="0" collapsed="false">
      <c r="A8" s="5" t="s">
        <v>10</v>
      </c>
      <c r="B8" s="6" t="n">
        <f aca="false">Calculations!G22</f>
        <v>3.41442977454458</v>
      </c>
      <c r="C8" s="7" t="s">
        <v>11</v>
      </c>
    </row>
    <row r="9" customFormat="false" ht="15" hidden="false" customHeight="false" outlineLevel="0" collapsed="false">
      <c r="A9" s="5" t="s">
        <v>12</v>
      </c>
      <c r="B9" s="6" t="n">
        <f aca="false">Calculations!E22-Calculations!F22</f>
        <v>63868.2</v>
      </c>
      <c r="C9" s="7" t="s">
        <v>13</v>
      </c>
    </row>
    <row r="10" customFormat="false" ht="15" hidden="false" customHeight="false" outlineLevel="0" collapsed="false">
      <c r="A10" s="5" t="s">
        <v>14</v>
      </c>
      <c r="B10" s="6" t="n">
        <f aca="false">(Calculations!E22-Calculations!F22)/Calculations!F22</f>
        <v>2.51449606299213</v>
      </c>
      <c r="C10" s="7" t="s">
        <v>15</v>
      </c>
    </row>
    <row r="11" customFormat="false" ht="15" hidden="false" customHeight="false" outlineLevel="0" collapsed="false">
      <c r="A11" s="5" t="s">
        <v>16</v>
      </c>
      <c r="B11" s="6" t="n">
        <f aca="false">Calculations!E22*3-Calculations!F22-6000</f>
        <v>236404.6</v>
      </c>
      <c r="C11" s="7" t="s">
        <v>17</v>
      </c>
    </row>
    <row r="14" customFormat="false" ht="15" hidden="false" customHeight="false" outlineLevel="0" collapsed="false">
      <c r="A14" s="3" t="s">
        <v>18</v>
      </c>
    </row>
    <row r="15" customFormat="false" ht="15" hidden="false" customHeight="false" outlineLevel="0" collapsed="false">
      <c r="A15" s="8" t="s">
        <v>19</v>
      </c>
      <c r="B15" s="8" t="s">
        <v>20</v>
      </c>
      <c r="C15" s="8" t="s">
        <v>21</v>
      </c>
      <c r="D15" s="8" t="s">
        <v>22</v>
      </c>
      <c r="E15" s="8" t="s">
        <v>23</v>
      </c>
    </row>
    <row r="16" customFormat="false" ht="15" hidden="false" customHeight="false" outlineLevel="0" collapsed="false">
      <c r="A16" s="7" t="s">
        <v>24</v>
      </c>
      <c r="B16" s="7" t="s">
        <v>25</v>
      </c>
      <c r="C16" s="9" t="n">
        <f aca="false">Calculations!E5</f>
        <v>13104</v>
      </c>
      <c r="D16" s="9" t="n">
        <f aca="false">Calculations!F5</f>
        <v>10000</v>
      </c>
      <c r="E16" s="10" t="n">
        <f aca="false">Calculations!G5</f>
        <v>9.15750915750916</v>
      </c>
    </row>
    <row r="17" customFormat="false" ht="15" hidden="false" customHeight="false" outlineLevel="0" collapsed="false">
      <c r="A17" s="7" t="s">
        <v>26</v>
      </c>
      <c r="B17" s="7" t="s">
        <v>27</v>
      </c>
      <c r="C17" s="9" t="n">
        <f aca="false">Calculations!E8</f>
        <v>3375</v>
      </c>
      <c r="D17" s="9" t="n">
        <f aca="false">Calculations!F8</f>
        <v>650</v>
      </c>
      <c r="E17" s="10" t="n">
        <f aca="false">Calculations!G8</f>
        <v>2.31111111111111</v>
      </c>
    </row>
    <row r="18" customFormat="false" ht="15" hidden="false" customHeight="false" outlineLevel="0" collapsed="false">
      <c r="A18" s="7" t="s">
        <v>28</v>
      </c>
      <c r="B18" s="7" t="s">
        <v>29</v>
      </c>
      <c r="C18" s="9" t="n">
        <f aca="false">Calculations!E9</f>
        <v>24000</v>
      </c>
      <c r="D18" s="9" t="n">
        <f aca="false">Calculations!F9</f>
        <v>2000</v>
      </c>
      <c r="E18" s="10" t="n">
        <f aca="false">Calculations!G9</f>
        <v>1</v>
      </c>
    </row>
    <row r="19" customFormat="false" ht="15" hidden="false" customHeight="false" outlineLevel="0" collapsed="false">
      <c r="A19" s="7" t="s">
        <v>30</v>
      </c>
      <c r="B19" s="7" t="s">
        <v>31</v>
      </c>
      <c r="C19" s="9" t="n">
        <f aca="false">Calculations!E7</f>
        <v>19968</v>
      </c>
      <c r="D19" s="9" t="n">
        <f aca="false">Calculations!F7</f>
        <v>4250</v>
      </c>
      <c r="E19" s="10" t="n">
        <f aca="false">Calculations!G7</f>
        <v>2.55408653846154</v>
      </c>
    </row>
    <row r="20" customFormat="false" ht="15" hidden="false" customHeight="false" outlineLevel="0" collapsed="false">
      <c r="A20" s="7" t="s">
        <v>32</v>
      </c>
      <c r="B20" s="7" t="s">
        <v>33</v>
      </c>
      <c r="C20" s="9" t="n">
        <f aca="false">Calculations!E6</f>
        <v>2059.2</v>
      </c>
      <c r="D20" s="9" t="n">
        <f aca="false">Calculations!F6</f>
        <v>1500</v>
      </c>
      <c r="E20" s="10" t="n">
        <f aca="false">Calculations!G6</f>
        <v>8.74125874125874</v>
      </c>
    </row>
    <row r="23" customFormat="false" ht="15" hidden="false" customHeight="false" outlineLevel="0" collapsed="false">
      <c r="A23" s="3" t="s">
        <v>34</v>
      </c>
    </row>
    <row r="24" customFormat="false" ht="15" hidden="false" customHeight="false" outlineLevel="0" collapsed="false">
      <c r="A24" s="11" t="s">
        <v>35</v>
      </c>
    </row>
    <row r="25" customFormat="false" ht="15" hidden="false" customHeight="false" outlineLevel="0" collapsed="false">
      <c r="A25" s="11" t="s">
        <v>36</v>
      </c>
    </row>
    <row r="26" customFormat="false" ht="15" hidden="false" customHeight="false" outlineLevel="0" collapsed="false">
      <c r="A26" s="11" t="s">
        <v>37</v>
      </c>
    </row>
    <row r="27" customFormat="false" ht="15" hidden="false" customHeight="false" outlineLevel="0" collapsed="false">
      <c r="A27" s="11" t="s">
        <v>38</v>
      </c>
    </row>
    <row r="28" customFormat="false" ht="15" hidden="false" customHeight="false" outlineLevel="0" collapsed="false">
      <c r="A28" s="11" t="s">
        <v>39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15"/>
    <col collapsed="false" customWidth="true" hidden="false" outlineLevel="0" max="4" min="4" style="0" width="40"/>
  </cols>
  <sheetData>
    <row r="1" customFormat="false" ht="19.7" hidden="false" customHeight="false" outlineLevel="0" collapsed="false">
      <c r="A1" s="12" t="s">
        <v>40</v>
      </c>
      <c r="B1" s="12"/>
      <c r="C1" s="12"/>
      <c r="D1" s="12"/>
    </row>
    <row r="2" customFormat="false" ht="15" hidden="false" customHeight="false" outlineLevel="0" collapsed="false">
      <c r="A2" s="13" t="s">
        <v>41</v>
      </c>
    </row>
    <row r="4" customFormat="false" ht="15" hidden="false" customHeight="false" outlineLevel="0" collapsed="false">
      <c r="A4" s="3" t="s">
        <v>42</v>
      </c>
    </row>
    <row r="5" customFormat="false" ht="15" hidden="false" customHeight="false" outlineLevel="0" collapsed="false">
      <c r="A5" s="4" t="s">
        <v>43</v>
      </c>
      <c r="B5" s="4" t="s">
        <v>44</v>
      </c>
      <c r="C5" s="4" t="s">
        <v>5</v>
      </c>
    </row>
    <row r="6" customFormat="false" ht="15" hidden="false" customHeight="false" outlineLevel="0" collapsed="false">
      <c r="A6" s="7" t="s">
        <v>45</v>
      </c>
      <c r="B6" s="14" t="n">
        <v>26</v>
      </c>
      <c r="C6" s="7" t="s">
        <v>46</v>
      </c>
    </row>
    <row r="7" customFormat="false" ht="15" hidden="false" customHeight="false" outlineLevel="0" collapsed="false">
      <c r="A7" s="7" t="s">
        <v>47</v>
      </c>
      <c r="B7" s="14" t="n">
        <v>45</v>
      </c>
      <c r="C7" s="7" t="s">
        <v>48</v>
      </c>
    </row>
    <row r="10" customFormat="false" ht="15" hidden="false" customHeight="false" outlineLevel="0" collapsed="false">
      <c r="A10" s="3" t="s">
        <v>49</v>
      </c>
    </row>
    <row r="11" customFormat="false" ht="15" hidden="false" customHeight="false" outlineLevel="0" collapsed="false">
      <c r="A11" s="4" t="s">
        <v>50</v>
      </c>
      <c r="B11" s="4" t="s">
        <v>51</v>
      </c>
      <c r="C11" s="4" t="s">
        <v>52</v>
      </c>
      <c r="D11" s="4" t="s">
        <v>5</v>
      </c>
    </row>
    <row r="12" customFormat="false" ht="15" hidden="false" customHeight="false" outlineLevel="0" collapsed="false">
      <c r="A12" s="7" t="s">
        <v>53</v>
      </c>
      <c r="B12" s="15" t="n">
        <v>160</v>
      </c>
      <c r="C12" s="7" t="s">
        <v>54</v>
      </c>
      <c r="D12" s="7" t="s">
        <v>55</v>
      </c>
    </row>
    <row r="13" customFormat="false" ht="15" hidden="false" customHeight="false" outlineLevel="0" collapsed="false">
      <c r="A13" s="7" t="s">
        <v>56</v>
      </c>
      <c r="B13" s="15" t="n">
        <v>40</v>
      </c>
      <c r="C13" s="7" t="s">
        <v>57</v>
      </c>
      <c r="D13" s="7" t="s">
        <v>58</v>
      </c>
    </row>
    <row r="14" customFormat="false" ht="15" hidden="false" customHeight="false" outlineLevel="0" collapsed="false">
      <c r="A14" s="7" t="s">
        <v>59</v>
      </c>
      <c r="B14" s="15" t="n">
        <v>8.25</v>
      </c>
      <c r="C14" s="7" t="s">
        <v>60</v>
      </c>
      <c r="D14" s="7" t="s">
        <v>61</v>
      </c>
    </row>
    <row r="15" customFormat="false" ht="15" hidden="false" customHeight="false" outlineLevel="0" collapsed="false">
      <c r="A15" s="7" t="s">
        <v>62</v>
      </c>
      <c r="B15" s="15" t="n">
        <v>113</v>
      </c>
      <c r="C15" s="7" t="s">
        <v>60</v>
      </c>
      <c r="D15" s="7" t="s">
        <v>63</v>
      </c>
    </row>
    <row r="16" customFormat="false" ht="15" hidden="false" customHeight="false" outlineLevel="0" collapsed="false">
      <c r="A16" s="7" t="s">
        <v>64</v>
      </c>
      <c r="B16" s="15" t="n">
        <v>160</v>
      </c>
      <c r="C16" s="7" t="s">
        <v>60</v>
      </c>
      <c r="D16" s="7" t="s">
        <v>65</v>
      </c>
    </row>
    <row r="17" customFormat="false" ht="15" hidden="false" customHeight="false" outlineLevel="0" collapsed="false">
      <c r="A17" s="7" t="s">
        <v>66</v>
      </c>
      <c r="B17" s="15" t="n">
        <v>22</v>
      </c>
      <c r="C17" s="7" t="s">
        <v>60</v>
      </c>
      <c r="D17" s="7" t="s">
        <v>67</v>
      </c>
    </row>
    <row r="20" customFormat="false" ht="15" hidden="false" customHeight="false" outlineLevel="0" collapsed="false">
      <c r="A20" s="3" t="s">
        <v>68</v>
      </c>
    </row>
    <row r="21" customFormat="false" ht="15" hidden="false" customHeight="false" outlineLevel="0" collapsed="false">
      <c r="A21" s="4" t="s">
        <v>50</v>
      </c>
      <c r="B21" s="4" t="s">
        <v>69</v>
      </c>
      <c r="C21" s="4" t="s">
        <v>70</v>
      </c>
      <c r="D21" s="4" t="s">
        <v>5</v>
      </c>
    </row>
    <row r="22" customFormat="false" ht="15" hidden="false" customHeight="false" outlineLevel="0" collapsed="false">
      <c r="A22" s="7" t="s">
        <v>71</v>
      </c>
      <c r="B22" s="16" t="n">
        <v>0.7</v>
      </c>
      <c r="C22" s="17" t="n">
        <v>7</v>
      </c>
      <c r="D22" s="7" t="s">
        <v>72</v>
      </c>
    </row>
    <row r="23" customFormat="false" ht="15" hidden="false" customHeight="false" outlineLevel="0" collapsed="false">
      <c r="A23" s="7" t="s">
        <v>59</v>
      </c>
      <c r="B23" s="16" t="n">
        <v>0.8</v>
      </c>
      <c r="C23" s="17" t="n">
        <v>9</v>
      </c>
      <c r="D23" s="7" t="s">
        <v>73</v>
      </c>
    </row>
    <row r="24" customFormat="false" ht="15" hidden="false" customHeight="false" outlineLevel="0" collapsed="false">
      <c r="A24" s="7" t="s">
        <v>62</v>
      </c>
      <c r="B24" s="16" t="n">
        <v>0.25</v>
      </c>
      <c r="C24" s="17" t="n">
        <v>5</v>
      </c>
      <c r="D24" s="7" t="s">
        <v>74</v>
      </c>
    </row>
    <row r="25" customFormat="false" ht="15" hidden="false" customHeight="false" outlineLevel="0" collapsed="false">
      <c r="A25" s="7" t="s">
        <v>64</v>
      </c>
      <c r="B25" s="16" t="n">
        <v>0.4</v>
      </c>
      <c r="C25" s="17" t="n">
        <v>6</v>
      </c>
      <c r="D25" s="7" t="s">
        <v>75</v>
      </c>
    </row>
    <row r="26" customFormat="false" ht="15" hidden="false" customHeight="false" outlineLevel="0" collapsed="false">
      <c r="A26" s="7" t="s">
        <v>66</v>
      </c>
      <c r="B26" s="16" t="n">
        <v>0.75</v>
      </c>
      <c r="C26" s="17" t="n">
        <v>9</v>
      </c>
      <c r="D26" s="7" t="s">
        <v>76</v>
      </c>
    </row>
    <row r="29" customFormat="false" ht="15" hidden="false" customHeight="false" outlineLevel="0" collapsed="false">
      <c r="A29" s="3" t="s">
        <v>77</v>
      </c>
    </row>
    <row r="30" customFormat="false" ht="15" hidden="false" customHeight="false" outlineLevel="0" collapsed="false">
      <c r="A30" s="4" t="s">
        <v>20</v>
      </c>
      <c r="B30" s="4" t="s">
        <v>4</v>
      </c>
      <c r="C30" s="4" t="s">
        <v>78</v>
      </c>
      <c r="D30" s="4" t="s">
        <v>5</v>
      </c>
    </row>
    <row r="31" customFormat="false" ht="15" hidden="false" customHeight="false" outlineLevel="0" collapsed="false">
      <c r="A31" s="7" t="s">
        <v>79</v>
      </c>
      <c r="B31" s="18" t="n">
        <v>0.0075</v>
      </c>
      <c r="C31" s="7" t="s">
        <v>80</v>
      </c>
      <c r="D31" s="7" t="s">
        <v>81</v>
      </c>
    </row>
    <row r="32" customFormat="false" ht="15" hidden="false" customHeight="false" outlineLevel="0" collapsed="false">
      <c r="A32" s="7" t="s">
        <v>82</v>
      </c>
      <c r="B32" s="14" t="n">
        <v>150</v>
      </c>
      <c r="C32" s="7" t="s">
        <v>83</v>
      </c>
      <c r="D32" s="7" t="s">
        <v>84</v>
      </c>
    </row>
    <row r="33" customFormat="false" ht="15" hidden="false" customHeight="false" outlineLevel="0" collapsed="false">
      <c r="A33" s="7" t="s">
        <v>85</v>
      </c>
      <c r="B33" s="18" t="n">
        <v>0.4</v>
      </c>
      <c r="C33" s="7" t="s">
        <v>86</v>
      </c>
      <c r="D33" s="7" t="s">
        <v>87</v>
      </c>
    </row>
    <row r="34" customFormat="false" ht="15" hidden="false" customHeight="false" outlineLevel="0" collapsed="false">
      <c r="A34" s="7" t="s">
        <v>88</v>
      </c>
      <c r="B34" s="17" t="n">
        <v>80</v>
      </c>
      <c r="C34" s="7" t="s">
        <v>89</v>
      </c>
      <c r="D34" s="7" t="s">
        <v>90</v>
      </c>
    </row>
    <row r="35" customFormat="false" ht="15" hidden="false" customHeight="false" outlineLevel="0" collapsed="false">
      <c r="A35" s="7" t="s">
        <v>91</v>
      </c>
      <c r="B35" s="14" t="n">
        <v>400</v>
      </c>
      <c r="C35" s="7" t="s">
        <v>92</v>
      </c>
      <c r="D35" s="7" t="s">
        <v>93</v>
      </c>
    </row>
    <row r="36" customFormat="false" ht="15" hidden="false" customHeight="false" outlineLevel="0" collapsed="false">
      <c r="A36" s="7" t="s">
        <v>94</v>
      </c>
      <c r="B36" s="18" t="n">
        <v>0.1</v>
      </c>
      <c r="C36" s="7" t="s">
        <v>95</v>
      </c>
      <c r="D36" s="7" t="s">
        <v>96</v>
      </c>
    </row>
    <row r="37" customFormat="false" ht="15" hidden="false" customHeight="false" outlineLevel="0" collapsed="false">
      <c r="A37" s="7" t="s">
        <v>97</v>
      </c>
      <c r="B37" s="14" t="n">
        <v>100</v>
      </c>
      <c r="C37" s="7" t="s">
        <v>92</v>
      </c>
      <c r="D37" s="7" t="s">
        <v>98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7" min="2" style="0" width="14"/>
  </cols>
  <sheetData>
    <row r="1" customFormat="false" ht="19.7" hidden="false" customHeight="false" outlineLevel="0" collapsed="false">
      <c r="A1" s="19" t="s">
        <v>99</v>
      </c>
    </row>
    <row r="3" customFormat="false" ht="26.85" hidden="false" customHeight="false" outlineLevel="0" collapsed="false">
      <c r="A3" s="20" t="s">
        <v>50</v>
      </c>
      <c r="B3" s="20" t="s">
        <v>100</v>
      </c>
      <c r="C3" s="20" t="s">
        <v>101</v>
      </c>
      <c r="D3" s="20" t="s">
        <v>102</v>
      </c>
      <c r="E3" s="20" t="s">
        <v>21</v>
      </c>
      <c r="F3" s="20" t="s">
        <v>103</v>
      </c>
      <c r="G3" s="20" t="s">
        <v>104</v>
      </c>
    </row>
    <row r="5" customFormat="false" ht="15" hidden="false" customHeight="false" outlineLevel="0" collapsed="false">
      <c r="A5" s="5" t="s">
        <v>71</v>
      </c>
      <c r="B5" s="21" t="n">
        <f aca="false">(Assumptions!B12*2+Assumptions!B13*10)/12</f>
        <v>60</v>
      </c>
      <c r="C5" s="21" t="n">
        <f aca="false">B5*12</f>
        <v>720</v>
      </c>
      <c r="D5" s="9" t="n">
        <f aca="false">C5*Assumptions!B6</f>
        <v>18720</v>
      </c>
      <c r="E5" s="6" t="n">
        <f aca="false">D5*Assumptions!B22</f>
        <v>13104</v>
      </c>
      <c r="F5" s="9" t="n">
        <v>10000</v>
      </c>
      <c r="G5" s="21" t="n">
        <f aca="false">F5/(E5/12)</f>
        <v>9.15750915750916</v>
      </c>
    </row>
    <row r="6" customFormat="false" ht="15" hidden="false" customHeight="false" outlineLevel="0" collapsed="false">
      <c r="A6" s="5" t="s">
        <v>59</v>
      </c>
      <c r="B6" s="21" t="n">
        <f aca="false">Assumptions!B14</f>
        <v>8.25</v>
      </c>
      <c r="C6" s="21" t="n">
        <f aca="false">B6*12</f>
        <v>99</v>
      </c>
      <c r="D6" s="9" t="n">
        <f aca="false">C6*Assumptions!B6</f>
        <v>2574</v>
      </c>
      <c r="E6" s="6" t="n">
        <f aca="false">D6*Assumptions!B23</f>
        <v>2059.2</v>
      </c>
      <c r="F6" s="9" t="n">
        <v>1500</v>
      </c>
      <c r="G6" s="21" t="n">
        <f aca="false">F6/(E6/12)</f>
        <v>8.74125874125874</v>
      </c>
    </row>
    <row r="7" customFormat="false" ht="15" hidden="false" customHeight="false" outlineLevel="0" collapsed="false">
      <c r="A7" s="5" t="s">
        <v>64</v>
      </c>
      <c r="B7" s="21" t="n">
        <f aca="false">Assumptions!B16</f>
        <v>160</v>
      </c>
      <c r="C7" s="21" t="n">
        <f aca="false">B7*12</f>
        <v>1920</v>
      </c>
      <c r="D7" s="9" t="n">
        <f aca="false">C7*Assumptions!B6</f>
        <v>49920</v>
      </c>
      <c r="E7" s="6" t="n">
        <f aca="false">D7*Assumptions!B25</f>
        <v>19968</v>
      </c>
      <c r="F7" s="9" t="n">
        <v>4250</v>
      </c>
      <c r="G7" s="21" t="n">
        <f aca="false">F7/(E7/12)</f>
        <v>2.55408653846154</v>
      </c>
    </row>
    <row r="8" customFormat="false" ht="15" hidden="false" customHeight="false" outlineLevel="0" collapsed="false">
      <c r="A8" s="5" t="s">
        <v>27</v>
      </c>
      <c r="B8" s="21" t="n">
        <v>0</v>
      </c>
      <c r="C8" s="21" t="n">
        <v>0</v>
      </c>
      <c r="D8" s="9" t="n">
        <v>0</v>
      </c>
      <c r="E8" s="6" t="n">
        <f aca="false">Assumptions!B31*3000*Assumptions!B32</f>
        <v>3375</v>
      </c>
      <c r="F8" s="9" t="n">
        <v>650</v>
      </c>
      <c r="G8" s="21" t="n">
        <f aca="false">F8/(E8/12)</f>
        <v>2.31111111111111</v>
      </c>
    </row>
    <row r="9" customFormat="false" ht="15" hidden="false" customHeight="false" outlineLevel="0" collapsed="false">
      <c r="A9" s="5" t="s">
        <v>105</v>
      </c>
      <c r="B9" s="21" t="n">
        <v>0</v>
      </c>
      <c r="C9" s="21" t="n">
        <v>0</v>
      </c>
      <c r="D9" s="9" t="n">
        <v>0</v>
      </c>
      <c r="E9" s="6" t="n">
        <f aca="false">Assumptions!B36*2400*Assumptions!B37</f>
        <v>24000</v>
      </c>
      <c r="F9" s="9" t="n">
        <v>2000</v>
      </c>
      <c r="G9" s="21" t="n">
        <f aca="false">F9/(E9/12)</f>
        <v>1</v>
      </c>
    </row>
    <row r="10" customFormat="false" ht="15" hidden="false" customHeight="false" outlineLevel="0" collapsed="false">
      <c r="A10" s="5" t="s">
        <v>106</v>
      </c>
      <c r="B10" s="21" t="n">
        <v>0</v>
      </c>
      <c r="C10" s="21" t="n">
        <v>0</v>
      </c>
      <c r="D10" s="9" t="n">
        <v>0</v>
      </c>
      <c r="E10" s="6" t="n">
        <f aca="false">Assumptions!B34*Assumptions!B33*Assumptions!B35</f>
        <v>12800</v>
      </c>
      <c r="F10" s="9" t="n">
        <v>1000</v>
      </c>
      <c r="G10" s="21" t="n">
        <f aca="false">F10/(E10/12)</f>
        <v>0.9375</v>
      </c>
    </row>
    <row r="11" customFormat="false" ht="15" hidden="false" customHeight="false" outlineLevel="0" collapsed="false">
      <c r="A11" s="5" t="s">
        <v>66</v>
      </c>
      <c r="B11" s="21" t="n">
        <f aca="false">Assumptions!B17</f>
        <v>22</v>
      </c>
      <c r="C11" s="21" t="n">
        <f aca="false">B11*12</f>
        <v>264</v>
      </c>
      <c r="D11" s="9" t="n">
        <f aca="false">C11*Assumptions!B6</f>
        <v>6864</v>
      </c>
      <c r="E11" s="6" t="n">
        <f aca="false">D11*Assumptions!B26</f>
        <v>5148</v>
      </c>
      <c r="F11" s="9" t="n">
        <v>1000</v>
      </c>
      <c r="G11" s="21" t="n">
        <f aca="false">F11/(E11/12)</f>
        <v>2.33100233100233</v>
      </c>
    </row>
    <row r="12" customFormat="false" ht="15" hidden="false" customHeight="false" outlineLevel="0" collapsed="false">
      <c r="A12" s="5" t="s">
        <v>107</v>
      </c>
      <c r="B12" s="21" t="n">
        <f aca="false">Assumptions!B15</f>
        <v>113</v>
      </c>
      <c r="C12" s="21" t="n">
        <f aca="false">B12*12</f>
        <v>1356</v>
      </c>
      <c r="D12" s="9" t="n">
        <f aca="false">C12*Assumptions!B6</f>
        <v>35256</v>
      </c>
      <c r="E12" s="6" t="n">
        <f aca="false">D12*Assumptions!B24</f>
        <v>8814</v>
      </c>
      <c r="F12" s="9" t="n">
        <v>5000</v>
      </c>
      <c r="G12" s="21" t="n">
        <f aca="false">F12/(E12/12)</f>
        <v>6.8073519400953</v>
      </c>
    </row>
    <row r="22" customFormat="false" ht="15" hidden="false" customHeight="false" outlineLevel="0" collapsed="false">
      <c r="A22" s="22" t="s">
        <v>108</v>
      </c>
      <c r="B22" s="8" t="n">
        <f aca="false">SUM(B5:B12)</f>
        <v>363.25</v>
      </c>
      <c r="C22" s="8" t="n">
        <f aca="false">SUM(C5:C12)</f>
        <v>4359</v>
      </c>
      <c r="D22" s="23" t="n">
        <f aca="false">SUM(D5:D12)</f>
        <v>113334</v>
      </c>
      <c r="E22" s="23" t="n">
        <f aca="false">SUM(E5:E12)</f>
        <v>89268.2</v>
      </c>
      <c r="F22" s="23" t="n">
        <f aca="false">SUM(F5:F12)</f>
        <v>25400</v>
      </c>
      <c r="G22" s="24" t="n">
        <f aca="false">F22/(E22/12)</f>
        <v>3.41442977454458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5" min="3" style="0" width="12"/>
    <col collapsed="false" customWidth="true" hidden="false" outlineLevel="0" max="6" min="6" style="0" width="25"/>
  </cols>
  <sheetData>
    <row r="1" customFormat="false" ht="19.7" hidden="false" customHeight="false" outlineLevel="0" collapsed="false">
      <c r="A1" s="19" t="s">
        <v>109</v>
      </c>
    </row>
    <row r="3" customFormat="false" ht="15" hidden="false" customHeight="false" outlineLevel="0" collapsed="false">
      <c r="A3" s="25" t="s">
        <v>110</v>
      </c>
      <c r="B3" s="25"/>
      <c r="C3" s="25"/>
      <c r="D3" s="25"/>
      <c r="E3" s="25"/>
      <c r="F3" s="25"/>
    </row>
    <row r="4" customFormat="false" ht="15" hidden="false" customHeight="false" outlineLevel="0" collapsed="false">
      <c r="A4" s="26" t="s">
        <v>111</v>
      </c>
      <c r="B4" s="26" t="s">
        <v>20</v>
      </c>
      <c r="C4" s="26" t="s">
        <v>112</v>
      </c>
      <c r="D4" s="26" t="s">
        <v>113</v>
      </c>
      <c r="E4" s="26" t="s">
        <v>114</v>
      </c>
      <c r="F4" s="26" t="s">
        <v>115</v>
      </c>
    </row>
    <row r="5" customFormat="false" ht="15" hidden="false" customHeight="false" outlineLevel="0" collapsed="false">
      <c r="A5" s="7" t="s">
        <v>116</v>
      </c>
      <c r="B5" s="7" t="s">
        <v>117</v>
      </c>
      <c r="C5" s="7" t="s">
        <v>118</v>
      </c>
      <c r="D5" s="9" t="n">
        <v>0</v>
      </c>
      <c r="E5" s="9" t="n">
        <v>0</v>
      </c>
      <c r="F5" s="7" t="s">
        <v>119</v>
      </c>
    </row>
    <row r="6" customFormat="false" ht="15" hidden="false" customHeight="false" outlineLevel="0" collapsed="false">
      <c r="A6" s="7" t="s">
        <v>116</v>
      </c>
      <c r="B6" s="7" t="s">
        <v>27</v>
      </c>
      <c r="C6" s="7" t="s">
        <v>120</v>
      </c>
      <c r="D6" s="9" t="n">
        <v>500</v>
      </c>
      <c r="E6" s="9" t="n">
        <v>800</v>
      </c>
      <c r="F6" s="7" t="s">
        <v>121</v>
      </c>
    </row>
    <row r="7" customFormat="false" ht="15" hidden="false" customHeight="false" outlineLevel="0" collapsed="false">
      <c r="A7" s="7" t="s">
        <v>122</v>
      </c>
      <c r="B7" s="7" t="s">
        <v>106</v>
      </c>
      <c r="C7" s="7" t="s">
        <v>120</v>
      </c>
      <c r="D7" s="9" t="n">
        <v>800</v>
      </c>
      <c r="E7" s="9" t="n">
        <v>1200</v>
      </c>
      <c r="F7" s="7" t="s">
        <v>123</v>
      </c>
    </row>
    <row r="8" customFormat="false" ht="15" hidden="false" customHeight="false" outlineLevel="0" collapsed="false">
      <c r="A8" s="7" t="s">
        <v>124</v>
      </c>
      <c r="B8" s="7" t="s">
        <v>125</v>
      </c>
      <c r="C8" s="7" t="s">
        <v>126</v>
      </c>
      <c r="D8" s="9" t="n">
        <v>1200</v>
      </c>
      <c r="E8" s="9" t="n">
        <v>1800</v>
      </c>
      <c r="F8" s="7" t="s">
        <v>127</v>
      </c>
    </row>
    <row r="9" customFormat="false" ht="15" hidden="false" customHeight="false" outlineLevel="0" collapsed="false">
      <c r="A9" s="7" t="s">
        <v>128</v>
      </c>
      <c r="B9" s="7" t="s">
        <v>129</v>
      </c>
      <c r="C9" s="7" t="s">
        <v>118</v>
      </c>
      <c r="D9" s="9" t="n">
        <v>800</v>
      </c>
      <c r="E9" s="9" t="n">
        <v>1200</v>
      </c>
      <c r="F9" s="7" t="s">
        <v>130</v>
      </c>
    </row>
    <row r="11" customFormat="false" ht="15" hidden="false" customHeight="false" outlineLevel="0" collapsed="false">
      <c r="A11" s="27" t="s">
        <v>131</v>
      </c>
      <c r="B11" s="28" t="n">
        <f aca="false">SUM(D5:D9)</f>
        <v>3300</v>
      </c>
      <c r="C11" s="0" t="s">
        <v>132</v>
      </c>
      <c r="D11" s="28" t="n">
        <f aca="false">SUM(E5:E9)</f>
        <v>5000</v>
      </c>
    </row>
    <row r="14" customFormat="false" ht="15" hidden="false" customHeight="false" outlineLevel="0" collapsed="false">
      <c r="A14" s="29" t="s">
        <v>133</v>
      </c>
      <c r="B14" s="29"/>
      <c r="C14" s="29"/>
      <c r="D14" s="29"/>
      <c r="E14" s="29"/>
      <c r="F14" s="29"/>
    </row>
    <row r="15" customFormat="false" ht="15" hidden="false" customHeight="false" outlineLevel="0" collapsed="false">
      <c r="A15" s="30" t="s">
        <v>111</v>
      </c>
      <c r="B15" s="30" t="s">
        <v>20</v>
      </c>
      <c r="C15" s="30" t="s">
        <v>112</v>
      </c>
      <c r="D15" s="30" t="s">
        <v>113</v>
      </c>
      <c r="E15" s="30" t="s">
        <v>114</v>
      </c>
      <c r="F15" s="30" t="s">
        <v>115</v>
      </c>
    </row>
    <row r="16" customFormat="false" ht="15" hidden="false" customHeight="false" outlineLevel="0" collapsed="false">
      <c r="A16" s="7" t="s">
        <v>134</v>
      </c>
      <c r="B16" s="7" t="s">
        <v>135</v>
      </c>
      <c r="C16" s="7" t="s">
        <v>136</v>
      </c>
      <c r="D16" s="9" t="n">
        <v>1500</v>
      </c>
      <c r="E16" s="9" t="n">
        <v>2500</v>
      </c>
      <c r="F16" s="7" t="s">
        <v>137</v>
      </c>
    </row>
    <row r="17" customFormat="false" ht="15" hidden="false" customHeight="false" outlineLevel="0" collapsed="false">
      <c r="A17" s="7" t="s">
        <v>138</v>
      </c>
      <c r="B17" s="7" t="s">
        <v>139</v>
      </c>
      <c r="C17" s="7" t="s">
        <v>140</v>
      </c>
      <c r="D17" s="9" t="n">
        <v>800</v>
      </c>
      <c r="E17" s="9" t="n">
        <v>1200</v>
      </c>
      <c r="F17" s="7" t="s">
        <v>141</v>
      </c>
    </row>
    <row r="18" customFormat="false" ht="15" hidden="false" customHeight="false" outlineLevel="0" collapsed="false">
      <c r="A18" s="7" t="s">
        <v>142</v>
      </c>
      <c r="B18" s="7" t="s">
        <v>143</v>
      </c>
      <c r="C18" s="7" t="s">
        <v>118</v>
      </c>
      <c r="D18" s="9" t="n">
        <v>300</v>
      </c>
      <c r="E18" s="9" t="n">
        <v>300</v>
      </c>
      <c r="F18" s="7" t="s">
        <v>144</v>
      </c>
    </row>
    <row r="19" customFormat="false" ht="15" hidden="false" customHeight="false" outlineLevel="0" collapsed="false">
      <c r="A19" s="7" t="s">
        <v>145</v>
      </c>
      <c r="B19" s="7" t="s">
        <v>146</v>
      </c>
      <c r="C19" s="7" t="s">
        <v>140</v>
      </c>
      <c r="D19" s="9" t="n">
        <v>200</v>
      </c>
      <c r="E19" s="9" t="n">
        <v>200</v>
      </c>
      <c r="F19" s="7" t="s">
        <v>147</v>
      </c>
    </row>
    <row r="20" customFormat="false" ht="15" hidden="false" customHeight="false" outlineLevel="0" collapsed="false">
      <c r="A20" s="7" t="s">
        <v>148</v>
      </c>
      <c r="B20" s="7" t="s">
        <v>149</v>
      </c>
      <c r="C20" s="7" t="s">
        <v>118</v>
      </c>
      <c r="D20" s="9" t="n">
        <v>1000</v>
      </c>
      <c r="E20" s="9" t="n">
        <v>1000</v>
      </c>
      <c r="F20" s="7" t="s">
        <v>150</v>
      </c>
    </row>
    <row r="21" customFormat="false" ht="15" hidden="false" customHeight="false" outlineLevel="0" collapsed="false">
      <c r="A21" s="7" t="s">
        <v>151</v>
      </c>
      <c r="B21" s="7" t="s">
        <v>152</v>
      </c>
      <c r="C21" s="7" t="s">
        <v>136</v>
      </c>
      <c r="D21" s="9" t="n">
        <v>1500</v>
      </c>
      <c r="E21" s="9" t="n">
        <v>3000</v>
      </c>
      <c r="F21" s="7" t="s">
        <v>153</v>
      </c>
    </row>
    <row r="23" customFormat="false" ht="15" hidden="false" customHeight="false" outlineLevel="0" collapsed="false">
      <c r="A23" s="27" t="s">
        <v>154</v>
      </c>
      <c r="B23" s="28" t="n">
        <f aca="false">SUM(D16:D21)</f>
        <v>5300</v>
      </c>
      <c r="C23" s="0" t="s">
        <v>132</v>
      </c>
      <c r="D23" s="28" t="n">
        <f aca="false">SUM(E16:E21)</f>
        <v>8200</v>
      </c>
    </row>
    <row r="26" customFormat="false" ht="15" hidden="false" customHeight="false" outlineLevel="0" collapsed="false">
      <c r="A26" s="31" t="s">
        <v>155</v>
      </c>
      <c r="B26" s="31"/>
      <c r="C26" s="31"/>
      <c r="D26" s="31"/>
      <c r="E26" s="31"/>
      <c r="F26" s="31"/>
    </row>
    <row r="27" customFormat="false" ht="15" hidden="false" customHeight="false" outlineLevel="0" collapsed="false">
      <c r="A27" s="4" t="s">
        <v>111</v>
      </c>
      <c r="B27" s="4" t="s">
        <v>20</v>
      </c>
      <c r="C27" s="4" t="s">
        <v>112</v>
      </c>
      <c r="D27" s="4" t="s">
        <v>113</v>
      </c>
      <c r="E27" s="4" t="s">
        <v>114</v>
      </c>
      <c r="F27" s="4" t="s">
        <v>115</v>
      </c>
    </row>
    <row r="28" customFormat="false" ht="15" hidden="false" customHeight="false" outlineLevel="0" collapsed="false">
      <c r="A28" s="7" t="s">
        <v>156</v>
      </c>
      <c r="B28" s="7" t="s">
        <v>157</v>
      </c>
      <c r="C28" s="7" t="s">
        <v>158</v>
      </c>
      <c r="D28" s="9" t="n">
        <v>4000</v>
      </c>
      <c r="E28" s="9" t="n">
        <v>6000</v>
      </c>
      <c r="F28" s="7" t="s">
        <v>159</v>
      </c>
    </row>
    <row r="29" customFormat="false" ht="15" hidden="false" customHeight="false" outlineLevel="0" collapsed="false">
      <c r="A29" s="7" t="s">
        <v>160</v>
      </c>
      <c r="B29" s="7" t="s">
        <v>161</v>
      </c>
      <c r="C29" s="7" t="s">
        <v>158</v>
      </c>
      <c r="D29" s="9" t="n">
        <v>2500</v>
      </c>
      <c r="E29" s="9" t="n">
        <v>4500</v>
      </c>
      <c r="F29" s="7" t="s">
        <v>162</v>
      </c>
    </row>
    <row r="30" customFormat="false" ht="15" hidden="false" customHeight="false" outlineLevel="0" collapsed="false">
      <c r="A30" s="7" t="s">
        <v>163</v>
      </c>
      <c r="B30" s="7" t="s">
        <v>164</v>
      </c>
      <c r="C30" s="7" t="s">
        <v>136</v>
      </c>
      <c r="D30" s="9" t="n">
        <v>1000</v>
      </c>
      <c r="E30" s="9" t="n">
        <v>1500</v>
      </c>
      <c r="F30" s="7" t="s">
        <v>165</v>
      </c>
    </row>
    <row r="31" customFormat="false" ht="15" hidden="false" customHeight="false" outlineLevel="0" collapsed="false">
      <c r="A31" s="7" t="s">
        <v>166</v>
      </c>
      <c r="B31" s="7" t="s">
        <v>167</v>
      </c>
      <c r="C31" s="7" t="s">
        <v>140</v>
      </c>
      <c r="D31" s="9" t="n">
        <v>500</v>
      </c>
      <c r="E31" s="9" t="n">
        <v>500</v>
      </c>
      <c r="F31" s="7" t="s">
        <v>168</v>
      </c>
    </row>
    <row r="33" customFormat="false" ht="15" hidden="false" customHeight="false" outlineLevel="0" collapsed="false">
      <c r="A33" s="27" t="s">
        <v>169</v>
      </c>
      <c r="B33" s="28" t="n">
        <f aca="false">SUM(D28:D31)</f>
        <v>8000</v>
      </c>
      <c r="C33" s="0" t="s">
        <v>132</v>
      </c>
      <c r="D33" s="28" t="n">
        <f aca="false">SUM(E28:E31)</f>
        <v>12500</v>
      </c>
    </row>
    <row r="36" customFormat="false" ht="15" hidden="false" customHeight="false" outlineLevel="0" collapsed="false">
      <c r="A36" s="3" t="s">
        <v>170</v>
      </c>
      <c r="B36" s="32" t="n">
        <f aca="false">B11+B23+B33</f>
        <v>16600</v>
      </c>
      <c r="C36" s="0" t="s">
        <v>132</v>
      </c>
      <c r="D36" s="32" t="n">
        <f aca="false">D11+D23+D33</f>
        <v>25700</v>
      </c>
    </row>
  </sheetData>
  <mergeCells count="3">
    <mergeCell ref="A3:F3"/>
    <mergeCell ref="A14:F14"/>
    <mergeCell ref="A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"/>
    <col collapsed="false" customWidth="true" hidden="false" outlineLevel="0" max="5" min="2" style="0" width="18"/>
  </cols>
  <sheetData>
    <row r="1" customFormat="false" ht="19.7" hidden="false" customHeight="false" outlineLevel="0" collapsed="false">
      <c r="A1" s="19" t="s">
        <v>171</v>
      </c>
    </row>
    <row r="3" customFormat="false" ht="15" hidden="false" customHeight="false" outlineLevel="0" collapsed="false">
      <c r="A3" s="4" t="s">
        <v>172</v>
      </c>
      <c r="B3" s="4" t="s">
        <v>22</v>
      </c>
      <c r="C3" s="4" t="s">
        <v>21</v>
      </c>
      <c r="D3" s="4" t="s">
        <v>173</v>
      </c>
      <c r="E3" s="4" t="s">
        <v>174</v>
      </c>
    </row>
    <row r="4" customFormat="false" ht="15" hidden="false" customHeight="false" outlineLevel="0" collapsed="false">
      <c r="A4" s="33" t="s">
        <v>175</v>
      </c>
      <c r="B4" s="9" t="n">
        <f aca="false">Calculations!F22</f>
        <v>25400</v>
      </c>
      <c r="C4" s="9" t="n">
        <f aca="false">Calculations!E22</f>
        <v>89268.2</v>
      </c>
      <c r="D4" s="9" t="n">
        <f aca="false">C4-B4</f>
        <v>63868.2</v>
      </c>
      <c r="E4" s="6" t="n">
        <f aca="false">D4</f>
        <v>63868.2</v>
      </c>
    </row>
    <row r="5" customFormat="false" ht="15" hidden="false" customHeight="false" outlineLevel="0" collapsed="false">
      <c r="A5" s="33" t="s">
        <v>176</v>
      </c>
      <c r="B5" s="9" t="n">
        <v>3000</v>
      </c>
      <c r="C5" s="9" t="n">
        <f aca="false">Calculations!E22</f>
        <v>89268.2</v>
      </c>
      <c r="D5" s="9" t="n">
        <f aca="false">C5-B5</f>
        <v>86268.2</v>
      </c>
      <c r="E5" s="6" t="n">
        <f aca="false">D5+E4</f>
        <v>150136.4</v>
      </c>
    </row>
    <row r="6" customFormat="false" ht="15" hidden="false" customHeight="false" outlineLevel="0" collapsed="false">
      <c r="A6" s="33" t="s">
        <v>177</v>
      </c>
      <c r="B6" s="9" t="n">
        <v>3000</v>
      </c>
      <c r="C6" s="9" t="n">
        <f aca="false">Calculations!E22</f>
        <v>89268.2</v>
      </c>
      <c r="D6" s="9" t="n">
        <f aca="false">C6-B6</f>
        <v>86268.2</v>
      </c>
      <c r="E6" s="6" t="n">
        <f aca="false">D6+E5</f>
        <v>236404.6</v>
      </c>
    </row>
    <row r="8" customFormat="false" ht="15" hidden="false" customHeight="false" outlineLevel="0" collapsed="false">
      <c r="A8" s="22" t="s">
        <v>178</v>
      </c>
      <c r="B8" s="23" t="n">
        <f aca="false">SUM(B4:B6)</f>
        <v>31400</v>
      </c>
      <c r="C8" s="23" t="n">
        <f aca="false">SUM(C4:C6)</f>
        <v>267804.6</v>
      </c>
      <c r="D8" s="23" t="n">
        <f aca="false">SUM(D4:D6)</f>
        <v>236404.6</v>
      </c>
      <c r="E8" s="23" t="n">
        <f aca="false">E6</f>
        <v>236404.6</v>
      </c>
    </row>
    <row r="11" customFormat="false" ht="17.35" hidden="false" customHeight="false" outlineLevel="0" collapsed="false">
      <c r="A11" s="34" t="s">
        <v>179</v>
      </c>
      <c r="B11" s="35" t="n">
        <f aca="false">E8/B8</f>
        <v>7.52880891719745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2026-02-12T15:07:58Z</dcterms:created>
  <dc:creator>openpyxl</dc:creator>
  <dc:description/>
  <dc:language>en-US</dc:language>
  <cp:lastModifiedBy/>
  <dcterms:modified xsi:type="dcterms:W3CDTF">2026-02-12T15:07:58Z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